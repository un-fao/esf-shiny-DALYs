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quessysy\Dropbox\"/>
    </mc:Choice>
  </mc:AlternateContent>
  <xr:revisionPtr revIDLastSave="0" documentId="8_{64DB5E15-3222-496D-96AD-75DD93520845}" xr6:coauthVersionLast="47" xr6:coauthVersionMax="47" xr10:uidLastSave="{00000000-0000-0000-0000-000000000000}"/>
  <bookViews>
    <workbookView xWindow="0" yWindow="0" windowWidth="19200" windowHeight="8350" xr2:uid="{00000000-000D-0000-FFFF-FFFF00000000}"/>
  </bookViews>
  <sheets>
    <sheet name="Questionnaire" sheetId="6" r:id="rId1"/>
    <sheet name="Risk Results" sheetId="7" r:id="rId2"/>
    <sheet name="DALYs Calcul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B11" i="7"/>
  <c r="B10" i="7"/>
  <c r="B9" i="7"/>
  <c r="B8" i="7"/>
  <c r="B7" i="7"/>
  <c r="B6" i="7"/>
  <c r="B5" i="7"/>
  <c r="B4" i="7"/>
  <c r="B3" i="7"/>
  <c r="B2" i="7"/>
  <c r="B19" i="7" l="1"/>
  <c r="B18" i="7"/>
  <c r="B17" i="7"/>
  <c r="B13" i="7" l="1"/>
  <c r="B24" i="7" s="1"/>
  <c r="B23" i="7" l="1"/>
  <c r="B22" i="7"/>
</calcChain>
</file>

<file path=xl/sharedStrings.xml><?xml version="1.0" encoding="utf-8"?>
<sst xmlns="http://schemas.openxmlformats.org/spreadsheetml/2006/main" count="104" uniqueCount="64">
  <si>
    <t>Supplementary Material H: Example of calculation of risk level (DALYs). A small butchery with few non-compliances in a Zimbabwe suburban area.</t>
  </si>
  <si>
    <t>Product Type</t>
  </si>
  <si>
    <t>Lamb</t>
  </si>
  <si>
    <t>Beef</t>
  </si>
  <si>
    <t xml:space="preserve">Pork </t>
  </si>
  <si>
    <t xml:space="preserve">Poultry </t>
  </si>
  <si>
    <t>Eggs</t>
  </si>
  <si>
    <t>Dairy</t>
  </si>
  <si>
    <t xml:space="preserve">Fish and shellfish </t>
  </si>
  <si>
    <t>Fruit and vegetables</t>
  </si>
  <si>
    <t xml:space="preserve">Beverages </t>
  </si>
  <si>
    <t>Grains</t>
  </si>
  <si>
    <t xml:space="preserve">Other foods </t>
  </si>
  <si>
    <t>A product where pathogenic micro-organisms can grow (e.g. meat, cheese) (kg)</t>
  </si>
  <si>
    <t>A product where pathogenic micro-organism can survive (e.g. fruit, vegetable) (kg)</t>
  </si>
  <si>
    <t>A product that received treatment to decrease (e.g. fermented sausage) the pathogenic microbial load (kg)</t>
  </si>
  <si>
    <t>A product that received a treatment that kill (e.g. canned food, cooked RTE) all pathogenic microorganisms (kg)</t>
  </si>
  <si>
    <t>Inherent Risk Factors</t>
  </si>
  <si>
    <t>Applied ? (mark x)</t>
  </si>
  <si>
    <t>Direct distribution to a vulnerable population (e.g. distribution in hospital, elderly facilities, baby care unit, …)</t>
  </si>
  <si>
    <t>Food made for a vulnerable population (such as Baby Food)</t>
  </si>
  <si>
    <t>Mitigation Factors (for these factors, when present, a positive value will reduce the likelihood of being involved)</t>
  </si>
  <si>
    <t>Certification of the business food safety control system: Accreditation of the food safety control system (e.g. HACCP, ISO 22000, …) by a reputable body</t>
  </si>
  <si>
    <t xml:space="preserve">An adequate Food Safety Training program (e.g. PAHO Food Handlers Manual) for employees (manipulating/processing food) is in place </t>
  </si>
  <si>
    <t>Recognition of the business by a relevant authority to export products to other countries</t>
  </si>
  <si>
    <t>Access to potable water, as demonstrated by annual on site test results or by municipal authorities</t>
  </si>
  <si>
    <t>x</t>
  </si>
  <si>
    <t>Presence of and access by the personnel of functional and adequately maintained sanitary facilities (e.g. toilets)</t>
  </si>
  <si>
    <t>Access by the personnel to functional and adequately maintained hand washing facilities</t>
  </si>
  <si>
    <t>Presence and continuous access to electrical power</t>
  </si>
  <si>
    <t>Presence and continuous access of sufficient cooling equipments according to the expected need (e.g. adequate cooling system if the product needs to be cool)</t>
  </si>
  <si>
    <t>Compliance Factors</t>
  </si>
  <si>
    <t>Inspection results. Presence of at least one important non-conformity in the current visit directly linked to food safety</t>
  </si>
  <si>
    <t>Inspection results. Presence of at least one important non-conformity in the last visit directly linked to food safety</t>
  </si>
  <si>
    <t>History of enforcement actions in the past 5 years: was this business targeted by an enforcement action such as permit suspension or temporary cessation of activities by inspection authorities</t>
  </si>
  <si>
    <t>Was this business linked in the past 3 years to a documented food safety related outbreak?</t>
  </si>
  <si>
    <t>Initial DALYs</t>
  </si>
  <si>
    <t>Total</t>
  </si>
  <si>
    <t>Risk Factor Cluster</t>
  </si>
  <si>
    <t>Combined Weight</t>
  </si>
  <si>
    <t>Inherent</t>
  </si>
  <si>
    <t>Mitigation</t>
  </si>
  <si>
    <t>Compliance</t>
  </si>
  <si>
    <t>Inherent Risk Result</t>
  </si>
  <si>
    <t>Mitigated Risk Result</t>
  </si>
  <si>
    <t>Final Risk Result</t>
  </si>
  <si>
    <t>DALYs/kg by food group and hazard type</t>
  </si>
  <si>
    <t>Food Group</t>
  </si>
  <si>
    <t>A product where pathogenic micro-organisms can grow (e.g. meat, cheese)</t>
  </si>
  <si>
    <t>A product where pathogenic micro-organism can survive (e.g. fruit, vegetable)</t>
  </si>
  <si>
    <t>A product that received treatment to decrease (e.g. fermented sausage) the pathogenic microbial load</t>
  </si>
  <si>
    <t>A product that received a treatment that kill (e.g. canned food, cooked RTE) all pathogenic microorganisms</t>
  </si>
  <si>
    <t xml:space="preserve">Eggs </t>
  </si>
  <si>
    <t xml:space="preserve">Dairy </t>
  </si>
  <si>
    <t>Fish and shellfish</t>
  </si>
  <si>
    <t>Beverages</t>
  </si>
  <si>
    <t>Grains,bread, pastas and bakery products</t>
  </si>
  <si>
    <t>Other foods including composite foods</t>
  </si>
  <si>
    <t>Inherent factors</t>
  </si>
  <si>
    <t>Risk Factor Weight</t>
  </si>
  <si>
    <r>
      <t xml:space="preserve">Mitigation factors (for these factors, when present, a positive value will </t>
    </r>
    <r>
      <rPr>
        <b/>
        <u/>
        <sz val="12"/>
        <rFont val="Arial"/>
        <family val="2"/>
      </rPr>
      <t>reduce</t>
    </r>
    <r>
      <rPr>
        <b/>
        <sz val="12"/>
        <rFont val="Arial"/>
        <family val="2"/>
      </rPr>
      <t xml:space="preserve"> the likelihood of being involved)</t>
    </r>
  </si>
  <si>
    <t>Compliance factors</t>
  </si>
  <si>
    <r>
      <t xml:space="preserve">Inspection results. Presence of at least one important non-conformity in the </t>
    </r>
    <r>
      <rPr>
        <b/>
        <sz val="12"/>
        <color theme="1"/>
        <rFont val="Arial"/>
        <family val="2"/>
      </rPr>
      <t>current</t>
    </r>
    <r>
      <rPr>
        <sz val="12"/>
        <color theme="1"/>
        <rFont val="Arial"/>
        <family val="2"/>
      </rPr>
      <t xml:space="preserve"> visit directly linked to food safety</t>
    </r>
  </si>
  <si>
    <r>
      <t xml:space="preserve">Inspection results. Presence of at least one important non-conformity in the </t>
    </r>
    <r>
      <rPr>
        <b/>
        <sz val="12"/>
        <color theme="1"/>
        <rFont val="Arial"/>
        <family val="2"/>
      </rPr>
      <t>last</t>
    </r>
    <r>
      <rPr>
        <sz val="12"/>
        <color theme="1"/>
        <rFont val="Arial"/>
        <family val="2"/>
      </rPr>
      <t xml:space="preserve"> visit directly linked to food safety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</si>
</sst>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5" borderId="5" xfId="0" applyFont="1" applyFill="1" applyBorder="1" applyAlignment="1">
      <alignment vertical="top"/>
    </xf>
    <xf numFmtId="164" fontId="0" fillId="0" borderId="0" xfId="0" applyNumberFormat="1"/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9" fillId="5" borderId="5" xfId="0" applyFont="1" applyFill="1" applyBorder="1" applyAlignment="1">
      <alignment wrapText="1"/>
    </xf>
    <xf numFmtId="0" fontId="10" fillId="6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10" fillId="6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wrapText="1"/>
    </xf>
    <xf numFmtId="0" fontId="10" fillId="3" borderId="0" xfId="0" applyFont="1" applyFill="1"/>
    <xf numFmtId="0" fontId="10" fillId="8" borderId="0" xfId="0" applyFont="1" applyFill="1"/>
    <xf numFmtId="0" fontId="10" fillId="4" borderId="0" xfId="0" applyFont="1" applyFill="1"/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0" fillId="3" borderId="0" xfId="0" applyNumberFormat="1" applyFont="1" applyFill="1"/>
    <xf numFmtId="164" fontId="10" fillId="8" borderId="0" xfId="0" applyNumberFormat="1" applyFont="1" applyFill="1"/>
    <xf numFmtId="164" fontId="10" fillId="4" borderId="0" xfId="0" applyNumberFormat="1" applyFont="1" applyFill="1"/>
    <xf numFmtId="0" fontId="7" fillId="7" borderId="0" xfId="0" applyFont="1" applyFill="1" applyAlignment="1">
      <alignment horizontal="center" vertical="center"/>
    </xf>
    <xf numFmtId="0" fontId="0" fillId="0" borderId="0" xfId="1" applyNumberFormat="1" applyFont="1" applyFill="1" applyBorder="1" applyAlignme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10" fillId="0" borderId="0" xfId="0" applyFont="1"/>
    <xf numFmtId="11" fontId="2" fillId="0" borderId="1" xfId="0" applyNumberFormat="1" applyFont="1" applyBorder="1"/>
  </cellXfs>
  <cellStyles count="2">
    <cellStyle name="Normal" xfId="0" builtinId="0"/>
    <cellStyle name="Per cent" xfId="1" builtinId="5"/>
  </cellStyles>
  <dxfs count="39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000"/>
    </dxf>
    <dxf>
      <numFmt numFmtId="164" formatCode="0.000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alignment horizontal="center" vertical="center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BA6D53"/>
      <color rgb="FFBA6DA3"/>
      <color rgb="FF6EA0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Results'!$A$22</c:f>
              <c:strCache>
                <c:ptCount val="1"/>
                <c:pt idx="0">
                  <c:v>Inherent Risk Result</c:v>
                </c:pt>
              </c:strCache>
            </c:strRef>
          </c:tx>
          <c:spPr>
            <a:solidFill>
              <a:srgbClr val="FEDC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'Risk Results'!$B$22</c:f>
              <c:numCache>
                <c:formatCode>0.0000</c:formatCode>
                <c:ptCount val="1"/>
                <c:pt idx="0">
                  <c:v>1.2510925445652906E-2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7-4A43-AA5A-932A77B19971}"/>
            </c:ext>
          </c:extLst>
        </c:ser>
        <c:ser>
          <c:idx val="1"/>
          <c:order val="1"/>
          <c:tx>
            <c:strRef>
              <c:f>'Risk Results'!$A$23</c:f>
              <c:strCache>
                <c:ptCount val="1"/>
                <c:pt idx="0">
                  <c:v>Mitigated Risk Result</c:v>
                </c:pt>
              </c:strCache>
            </c:strRef>
          </c:tx>
          <c:spPr>
            <a:solidFill>
              <a:srgbClr val="6EA0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'Risk Results'!$B$23</c:f>
              <c:numCache>
                <c:formatCode>0.0000</c:formatCode>
                <c:ptCount val="1"/>
                <c:pt idx="0">
                  <c:v>3.9096642017665331E-4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37-4A43-AA5A-932A77B19971}"/>
            </c:ext>
          </c:extLst>
        </c:ser>
        <c:ser>
          <c:idx val="2"/>
          <c:order val="2"/>
          <c:tx>
            <c:strRef>
              <c:f>'Risk Results'!$A$24</c:f>
              <c:strCache>
                <c:ptCount val="1"/>
                <c:pt idx="0">
                  <c:v>Final Risk Result</c:v>
                </c:pt>
              </c:strCache>
            </c:strRef>
          </c:tx>
          <c:spPr>
            <a:solidFill>
              <a:srgbClr val="BA6D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Ref>
              <c:f>'Risk Results'!$B$24</c:f>
              <c:numCache>
                <c:formatCode>0.0000</c:formatCode>
                <c:ptCount val="1"/>
                <c:pt idx="0">
                  <c:v>2.3457985210599198E-2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37-4A43-AA5A-932A77B19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889920"/>
        <c:axId val="205891456"/>
      </c:barChart>
      <c:catAx>
        <c:axId val="20588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891456"/>
        <c:crosses val="autoZero"/>
        <c:auto val="1"/>
        <c:lblAlgn val="ctr"/>
        <c:lblOffset val="100"/>
        <c:noMultiLvlLbl val="0"/>
      </c:catAx>
      <c:valAx>
        <c:axId val="205891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crossAx val="2058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24911</xdr:colOff>
      <xdr:row>1</xdr:row>
      <xdr:rowOff>116498</xdr:rowOff>
    </xdr:from>
    <xdr:to>
      <xdr:col>10</xdr:col>
      <xdr:colOff>523142</xdr:colOff>
      <xdr:row>18</xdr:row>
      <xdr:rowOff>116498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2:L6" totalsRowShown="0" headerRowDxfId="38" dataDxfId="37">
  <tableColumns count="12">
    <tableColumn id="1" xr3:uid="{00000000-0010-0000-0000-000001000000}" name="Product Type" dataDxfId="36"/>
    <tableColumn id="2" xr3:uid="{00000000-0010-0000-0000-000002000000}" name="Lamb" dataDxfId="35"/>
    <tableColumn id="3" xr3:uid="{00000000-0010-0000-0000-000003000000}" name="Beef" dataDxfId="34"/>
    <tableColumn id="4" xr3:uid="{00000000-0010-0000-0000-000004000000}" name="Pork " dataDxfId="33"/>
    <tableColumn id="5" xr3:uid="{00000000-0010-0000-0000-000005000000}" name="Poultry " dataDxfId="32"/>
    <tableColumn id="6" xr3:uid="{00000000-0010-0000-0000-000006000000}" name="Eggs" dataDxfId="31"/>
    <tableColumn id="7" xr3:uid="{00000000-0010-0000-0000-000007000000}" name="Dairy" dataDxfId="30"/>
    <tableColumn id="11" xr3:uid="{00000000-0010-0000-0000-00000B000000}" name="Fish and shellfish " dataDxfId="29"/>
    <tableColumn id="8" xr3:uid="{00000000-0010-0000-0000-000008000000}" name="Fruit and vegetables" dataDxfId="28"/>
    <tableColumn id="9" xr3:uid="{00000000-0010-0000-0000-000009000000}" name="Beverages " dataDxfId="27"/>
    <tableColumn id="10" xr3:uid="{00000000-0010-0000-0000-00000A000000}" name="Grains" dataDxfId="26"/>
    <tableColumn id="12" xr3:uid="{00000000-0010-0000-0000-00000C000000}" name="Other foods " dataDxfId="25"/>
  </tableColumns>
  <tableStyleInfo name="TableStyleMedium6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7" displayName="Table7" ref="A8:B10" totalsRowShown="0" headerRowBorderDxfId="23" tableBorderDxfId="24" totalsRowBorderDxfId="22">
  <tableColumns count="2">
    <tableColumn id="1" xr3:uid="{00000000-0010-0000-0100-000001000000}" name="Inherent Risk Factors" dataDxfId="21"/>
    <tableColumn id="2" xr3:uid="{00000000-0010-0000-0100-000002000000}" name="Applied ? (mark x)" dataDxfId="20"/>
  </tableColumns>
  <tableStyleInfo name="TableStyleMedium6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A12:B20" totalsRowShown="0" headerRowBorderDxfId="18" tableBorderDxfId="19">
  <autoFilter ref="A12:B20" xr:uid="{00000000-0009-0000-0100-000008000000}"/>
  <tableColumns count="2">
    <tableColumn id="1" xr3:uid="{00000000-0010-0000-0200-000001000000}" name="Mitigation Factors (for these factors, when present, a positive value will reduce the likelihood of being involved)" dataDxfId="17"/>
    <tableColumn id="2" xr3:uid="{00000000-0010-0000-0200-000002000000}" name="Applied ? (mark x)" dataDxfId="16"/>
  </tableColumns>
  <tableStyleInfo name="TableStyleMedium6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810" displayName="Table810" ref="A22:B26" totalsRowShown="0" headerRowBorderDxfId="14" tableBorderDxfId="15">
  <autoFilter ref="A22:B26" xr:uid="{00000000-0009-0000-0100-000009000000}"/>
  <tableColumns count="2">
    <tableColumn id="1" xr3:uid="{00000000-0010-0000-0300-000001000000}" name="Compliance Factors" dataDxfId="13"/>
    <tableColumn id="2" xr3:uid="{00000000-0010-0000-0300-000002000000}" name="Applied ? (mark x)" dataDxfId="12"/>
  </tableColumns>
  <tableStyleInfo name="TableStyleMedium6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10" displayName="Table10" ref="A1:B13" totalsRowCount="1">
  <autoFilter ref="A1:B12" xr:uid="{00000000-0009-0000-0100-00000A000000}"/>
  <tableColumns count="2">
    <tableColumn id="1" xr3:uid="{00000000-0010-0000-0400-000001000000}" name="Product Type" totalsRowLabel="Total"/>
    <tableColumn id="2" xr3:uid="{00000000-0010-0000-0400-000002000000}" name="Initial DALYs" totalsRowFunction="custom" dataDxfId="10" totalsRowDxfId="11">
      <calculatedColumnFormula>('DALYs Calculations'!B3*Questionnaire!B3)+('DALYs Calculations'!C3*Questionnaire!B4)+('DALYs Calculations'!D3*Questionnaire!B5)+('DALYs Calculations'!E3*Questionnaire!B6)</calculatedColumnFormula>
      <totalsRowFormula>SUM(Table10[Initial DALYs])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5" displayName="Table5" ref="A16:B19" totalsRowShown="0">
  <autoFilter ref="A16:B19" xr:uid="{00000000-0009-0000-0100-000005000000}"/>
  <tableColumns count="2">
    <tableColumn id="1" xr3:uid="{00000000-0010-0000-0500-000001000000}" name="Risk Factor Cluster" dataDxfId="9"/>
    <tableColumn id="2" xr3:uid="{00000000-0010-0000-0500-000002000000}" name="Combined Weight" dataDxfId="8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17:B19" totalsRowShown="0" headerRowDxfId="7">
  <autoFilter ref="A17:B19" xr:uid="{00000000-0009-0000-0100-000001000000}"/>
  <tableColumns count="2">
    <tableColumn id="1" xr3:uid="{00000000-0010-0000-0600-000001000000}" name="Inherent factors" dataDxfId="6"/>
    <tableColumn id="2" xr3:uid="{00000000-0010-0000-0600-000002000000}" name="Risk Factor Weight" dataDxfId="5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2" displayName="Table2" ref="A21:B29" totalsRowShown="0" headerRowDxfId="4">
  <autoFilter ref="A21:B29" xr:uid="{00000000-0009-0000-0100-000002000000}"/>
  <tableColumns count="2">
    <tableColumn id="1" xr3:uid="{00000000-0010-0000-0700-000001000000}" name="Mitigation factors (for these factors, when present, a positive value will reduce the likelihood of being involved)" dataDxfId="3"/>
    <tableColumn id="2" xr3:uid="{00000000-0010-0000-0700-000002000000}" name="Risk Factor Weight" dataDxfId="2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Table3" displayName="Table3" ref="A31:B35" totalsRowShown="0" headerRowDxfId="1">
  <autoFilter ref="A31:B35" xr:uid="{00000000-0009-0000-0100-000003000000}"/>
  <tableColumns count="2">
    <tableColumn id="1" xr3:uid="{00000000-0010-0000-0800-000001000000}" name="Compliance factors"/>
    <tableColumn id="2" xr3:uid="{00000000-0010-0000-0800-000002000000}" name="Risk Factor Weight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/>
  </sheetViews>
  <sheetFormatPr defaultColWidth="9" defaultRowHeight="15.6"/>
  <cols>
    <col min="1" max="1" width="87.125" customWidth="1"/>
    <col min="2" max="2" width="18.5" bestFit="1" customWidth="1"/>
    <col min="3" max="3" width="7.125" bestFit="1" customWidth="1"/>
    <col min="4" max="4" width="8.125" bestFit="1" customWidth="1"/>
    <col min="5" max="5" width="10.625" bestFit="1" customWidth="1"/>
    <col min="6" max="6" width="7.375" bestFit="1" customWidth="1"/>
    <col min="7" max="7" width="8.375" bestFit="1" customWidth="1"/>
    <col min="8" max="8" width="18.625" bestFit="1" customWidth="1"/>
    <col min="9" max="9" width="21.125" bestFit="1" customWidth="1"/>
    <col min="10" max="10" width="13.125" bestFit="1" customWidth="1"/>
    <col min="11" max="11" width="9" bestFit="1" customWidth="1"/>
    <col min="12" max="12" width="8.875"/>
    <col min="13" max="13" width="14.125" bestFit="1" customWidth="1"/>
  </cols>
  <sheetData>
    <row r="1" spans="1:12">
      <c r="A1" s="43" t="s">
        <v>0</v>
      </c>
    </row>
    <row r="2" spans="1:12">
      <c r="A2" s="20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>
      <c r="A3" s="21" t="s">
        <v>13</v>
      </c>
      <c r="B3" s="39">
        <v>20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>
      <c r="A4" s="21" t="s">
        <v>14</v>
      </c>
      <c r="B4" s="39">
        <v>80</v>
      </c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ht="30.95">
      <c r="A5" s="21" t="s">
        <v>15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ht="30.95">
      <c r="A6" s="21" t="s">
        <v>16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>
      <c r="A7" s="21"/>
    </row>
    <row r="8" spans="1:12">
      <c r="A8" s="22" t="s">
        <v>17</v>
      </c>
      <c r="B8" s="18" t="s">
        <v>18</v>
      </c>
    </row>
    <row r="9" spans="1:12" ht="30.95">
      <c r="A9" s="23" t="s">
        <v>19</v>
      </c>
      <c r="B9" s="31"/>
    </row>
    <row r="10" spans="1:12">
      <c r="A10" s="24" t="s">
        <v>20</v>
      </c>
      <c r="B10" s="34"/>
    </row>
    <row r="11" spans="1:12">
      <c r="A11" s="21"/>
    </row>
    <row r="12" spans="1:12" ht="30.95">
      <c r="A12" s="25" t="s">
        <v>21</v>
      </c>
      <c r="B12" s="18" t="s">
        <v>18</v>
      </c>
    </row>
    <row r="13" spans="1:12" ht="30.95">
      <c r="A13" s="26" t="s">
        <v>22</v>
      </c>
      <c r="B13" s="31"/>
    </row>
    <row r="14" spans="1:12" ht="30.95">
      <c r="A14" s="27" t="s">
        <v>23</v>
      </c>
      <c r="B14" s="32"/>
    </row>
    <row r="15" spans="1:12">
      <c r="A15" s="21" t="s">
        <v>24</v>
      </c>
      <c r="B15" s="33"/>
    </row>
    <row r="16" spans="1:12">
      <c r="A16" s="21" t="s">
        <v>25</v>
      </c>
      <c r="B16" s="33" t="s">
        <v>26</v>
      </c>
    </row>
    <row r="17" spans="1:2" ht="30.95">
      <c r="A17" s="21" t="s">
        <v>27</v>
      </c>
      <c r="B17" s="33" t="s">
        <v>26</v>
      </c>
    </row>
    <row r="18" spans="1:2">
      <c r="A18" s="21" t="s">
        <v>28</v>
      </c>
      <c r="B18" s="33" t="s">
        <v>26</v>
      </c>
    </row>
    <row r="19" spans="1:2">
      <c r="A19" s="21" t="s">
        <v>29</v>
      </c>
      <c r="B19" s="33" t="s">
        <v>26</v>
      </c>
    </row>
    <row r="20" spans="1:2" ht="30.95">
      <c r="A20" s="21" t="s">
        <v>30</v>
      </c>
      <c r="B20" s="33" t="s">
        <v>26</v>
      </c>
    </row>
    <row r="21" spans="1:2">
      <c r="A21" s="21"/>
    </row>
    <row r="22" spans="1:2">
      <c r="A22" s="25" t="s">
        <v>31</v>
      </c>
      <c r="B22" s="18" t="s">
        <v>18</v>
      </c>
    </row>
    <row r="23" spans="1:2" ht="30.95">
      <c r="A23" s="26" t="s">
        <v>32</v>
      </c>
      <c r="B23" s="31" t="s">
        <v>26</v>
      </c>
    </row>
    <row r="24" spans="1:2" ht="30.95">
      <c r="A24" s="27" t="s">
        <v>33</v>
      </c>
      <c r="B24" s="32" t="s">
        <v>26</v>
      </c>
    </row>
    <row r="25" spans="1:2" ht="30.95">
      <c r="A25" s="21" t="s">
        <v>34</v>
      </c>
      <c r="B25" s="33" t="s">
        <v>26</v>
      </c>
    </row>
    <row r="26" spans="1:2">
      <c r="A26" s="21" t="s">
        <v>35</v>
      </c>
      <c r="B26" s="33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="130" zoomScaleNormal="130" workbookViewId="0">
      <selection activeCell="L14" sqref="L14"/>
    </sheetView>
  </sheetViews>
  <sheetFormatPr defaultColWidth="8.875" defaultRowHeight="15.6"/>
  <cols>
    <col min="1" max="1" width="19.125" bestFit="1" customWidth="1"/>
    <col min="2" max="2" width="18.375" bestFit="1" customWidth="1"/>
  </cols>
  <sheetData>
    <row r="1" spans="1:2">
      <c r="A1" t="s">
        <v>1</v>
      </c>
      <c r="B1" t="s">
        <v>36</v>
      </c>
    </row>
    <row r="2" spans="1:2">
      <c r="A2" t="s">
        <v>2</v>
      </c>
      <c r="B2" s="19">
        <f>('DALYs Calculations'!B3*Questionnaire!B3)+('DALYs Calculations'!C3*Questionnaire!B4)+('DALYs Calculations'!D3*Questionnaire!B5)+('DALYs Calculations'!E3*Questionnaire!B6)</f>
        <v>1.2510925445652906E-2</v>
      </c>
    </row>
    <row r="3" spans="1:2">
      <c r="A3" t="s">
        <v>3</v>
      </c>
      <c r="B3" s="19">
        <f>('DALYs Calculations'!B4*Questionnaire!C3)+('DALYs Calculations'!C4*Questionnaire!C4)+('DALYs Calculations'!D4*Questionnaire!C5)+('DALYs Calculations'!E4*Questionnaire!C6)</f>
        <v>0</v>
      </c>
    </row>
    <row r="4" spans="1:2">
      <c r="A4" t="s">
        <v>4</v>
      </c>
      <c r="B4" s="19">
        <f>('DALYs Calculations'!B5*Questionnaire!D3)+('DALYs Calculations'!C5*Questionnaire!D4)+('DALYs Calculations'!D5*Questionnaire!D5)+('DALYs Calculations'!E5*Questionnaire!D6)</f>
        <v>0</v>
      </c>
    </row>
    <row r="5" spans="1:2">
      <c r="A5" t="s">
        <v>5</v>
      </c>
      <c r="B5" s="19">
        <f>('DALYs Calculations'!B6*Questionnaire!E3)+('DALYs Calculations'!C6*Questionnaire!E4)+('DALYs Calculations'!D6*Questionnaire!E5)+('DALYs Calculations'!E6*Questionnaire!E6)</f>
        <v>0</v>
      </c>
    </row>
    <row r="6" spans="1:2">
      <c r="A6" t="s">
        <v>6</v>
      </c>
      <c r="B6" s="19">
        <f>('DALYs Calculations'!B7*Questionnaire!F3)+('DALYs Calculations'!C7*Questionnaire!F4)+('DALYs Calculations'!D7*Questionnaire!F5)+('DALYs Calculations'!E7*Questionnaire!F6)</f>
        <v>0</v>
      </c>
    </row>
    <row r="7" spans="1:2">
      <c r="A7" t="s">
        <v>7</v>
      </c>
      <c r="B7" s="19">
        <f>('DALYs Calculations'!B8*Questionnaire!G3)+('DALYs Calculations'!C8*Questionnaire!G4)+('DALYs Calculations'!D8*Questionnaire!G5)+('DALYs Calculations'!E8*Questionnaire!G6)</f>
        <v>0</v>
      </c>
    </row>
    <row r="8" spans="1:2">
      <c r="A8" t="s">
        <v>8</v>
      </c>
      <c r="B8" s="19">
        <f>('DALYs Calculations'!B12*Questionnaire!H3)+('DALYs Calculations'!C12*Questionnaire!H4)+('DALYs Calculations'!D12*Questionnaire!H5)+('DALYs Calculations'!E12*Questionnaire!H6)</f>
        <v>0</v>
      </c>
    </row>
    <row r="9" spans="1:2">
      <c r="A9" t="s">
        <v>9</v>
      </c>
      <c r="B9" s="19">
        <f>('DALYs Calculations'!B9*Questionnaire!I3)+('DALYs Calculations'!C9*Questionnaire!I4)+('DALYs Calculations'!D9*Questionnaire!I5)+('DALYs Calculations'!E9*Questionnaire!I6)</f>
        <v>0</v>
      </c>
    </row>
    <row r="10" spans="1:2">
      <c r="A10" t="s">
        <v>10</v>
      </c>
      <c r="B10" s="19">
        <f>('DALYs Calculations'!B10*Questionnaire!J3)+('DALYs Calculations'!C10*Questionnaire!J4)+('DALYs Calculations'!D10*Questionnaire!J5)+('DALYs Calculations'!E10*Questionnaire!J6)</f>
        <v>0</v>
      </c>
    </row>
    <row r="11" spans="1:2">
      <c r="A11" t="s">
        <v>11</v>
      </c>
      <c r="B11" s="19">
        <f>('DALYs Calculations'!B11*Questionnaire!K3)+('DALYs Calculations'!C11*Questionnaire!K4)+('DALYs Calculations'!D11*Questionnaire!K5)+('DALYs Calculations'!E11*Questionnaire!K6)</f>
        <v>0</v>
      </c>
    </row>
    <row r="12" spans="1:2">
      <c r="A12" t="s">
        <v>12</v>
      </c>
      <c r="B12" s="19">
        <f>('DALYs Calculations'!B13*Questionnaire!L3)+('DALYs Calculations'!C13*Questionnaire!L4)+('DALYs Calculations'!D13*Questionnaire!L5)+('DALYs Calculations'!E13*Questionnaire!L6)</f>
        <v>0</v>
      </c>
    </row>
    <row r="13" spans="1:2">
      <c r="A13" t="s">
        <v>37</v>
      </c>
      <c r="B13" s="19">
        <f>SUM(Table10[Initial DALYs])</f>
        <v>1.2510925445652906E-2</v>
      </c>
    </row>
    <row r="16" spans="1:2">
      <c r="A16" t="s">
        <v>38</v>
      </c>
      <c r="B16" t="s">
        <v>39</v>
      </c>
    </row>
    <row r="17" spans="1:2">
      <c r="A17" t="s">
        <v>40</v>
      </c>
      <c r="B17" s="19">
        <f>IF(ISBLANK(Questionnaire!B9),1,'DALYs Calculations'!B18)*IF(ISBLANK(Questionnaire!B10),1,'DALYs Calculations'!B19)</f>
        <v>1</v>
      </c>
    </row>
    <row r="18" spans="1:2">
      <c r="A18" t="s">
        <v>41</v>
      </c>
      <c r="B18" s="19">
        <f>IF(ISBLANK(Questionnaire!B13),1,'DALYs Calculations'!B22)*IF(ISBLANK(Questionnaire!B14),1,'DALYs Calculations'!B23)*IF(ISBLANK(Questionnaire!B15),1,'DALYs Calculations'!B24)*IF(ISBLANK(Questionnaire!B16),1,'DALYs Calculations'!B25)*IF(ISBLANK(Questionnaire!B17),1,'DALYs Calculations'!B26)*IF(ISBLANK(Questionnaire!B18),1,'DALYs Calculations'!B27)*IF(ISBLANK(Questionnaire!B19),1,'DALYs Calculations'!B28)*IF(ISBLANK(Questionnaire!B20),1,'DALYs Calculations'!B29)</f>
        <v>32</v>
      </c>
    </row>
    <row r="19" spans="1:2">
      <c r="A19" t="s">
        <v>42</v>
      </c>
      <c r="B19" s="19">
        <f>IF(ISBLANK(Questionnaire!B23),1,'DALYs Calculations'!B32)*IF(ISBLANK(Questionnaire!B24),1,'DALYs Calculations'!B33)*IF(ISBLANK(Questionnaire!B25),1,'DALYs Calculations'!B34)*IF(ISBLANK(Questionnaire!B26),1,'DALYs Calculations'!B35)</f>
        <v>60</v>
      </c>
    </row>
    <row r="22" spans="1:2">
      <c r="A22" s="28" t="s">
        <v>43</v>
      </c>
      <c r="B22" s="35">
        <f>Table10[[#Totals],[Initial DALYs]]*B17</f>
        <v>1.2510925445652906E-2</v>
      </c>
    </row>
    <row r="23" spans="1:2">
      <c r="A23" s="29" t="s">
        <v>44</v>
      </c>
      <c r="B23" s="36">
        <f>Table10[[#Totals],[Initial DALYs]]*B17/B18</f>
        <v>3.9096642017665331E-4</v>
      </c>
    </row>
    <row r="24" spans="1:2">
      <c r="A24" s="30" t="s">
        <v>45</v>
      </c>
      <c r="B24" s="37">
        <f>Table10[[#Totals],[Initial DALYs]]*B17/B18*B19</f>
        <v>2.3457985210599198E-2</v>
      </c>
    </row>
  </sheetData>
  <pageMargins left="0.7" right="0.7" top="0.75" bottom="0.75" header="0.3" footer="0.3"/>
  <ignoredErrors>
    <ignoredError sqref="B3:B12" calculatedColumn="1"/>
  </ignoredErrors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zoomScaleNormal="100" workbookViewId="0">
      <selection activeCell="B3" sqref="B3:E13"/>
    </sheetView>
  </sheetViews>
  <sheetFormatPr defaultColWidth="10.875" defaultRowHeight="17.45"/>
  <cols>
    <col min="1" max="1" width="123.125" style="1" customWidth="1"/>
    <col min="2" max="2" width="26.5" style="1" customWidth="1"/>
    <col min="3" max="3" width="25.375" style="1" customWidth="1"/>
    <col min="4" max="4" width="26.5" style="1" customWidth="1"/>
    <col min="5" max="5" width="30.875" style="1" customWidth="1"/>
    <col min="6" max="6" width="16.625" style="1" bestFit="1" customWidth="1"/>
    <col min="7" max="8" width="25.125" style="1" bestFit="1" customWidth="1"/>
    <col min="9" max="9" width="24.125" style="1" customWidth="1"/>
    <col min="10" max="12" width="22.5" style="1" bestFit="1" customWidth="1"/>
    <col min="13" max="13" width="15.625" style="1" bestFit="1" customWidth="1"/>
    <col min="14" max="16384" width="10.875" style="1"/>
  </cols>
  <sheetData>
    <row r="1" spans="1:5" ht="18">
      <c r="A1" s="2" t="s">
        <v>46</v>
      </c>
    </row>
    <row r="2" spans="1:5" ht="108">
      <c r="A2" s="41" t="s">
        <v>47</v>
      </c>
      <c r="B2" s="40" t="s">
        <v>48</v>
      </c>
      <c r="C2" s="40" t="s">
        <v>49</v>
      </c>
      <c r="D2" s="40" t="s">
        <v>50</v>
      </c>
      <c r="E2" s="40" t="s">
        <v>51</v>
      </c>
    </row>
    <row r="3" spans="1:5" ht="18">
      <c r="A3" s="42" t="s">
        <v>2</v>
      </c>
      <c r="B3" s="44">
        <v>2.6279272002381084E-4</v>
      </c>
      <c r="C3" s="44">
        <v>9.0688388064708605E-5</v>
      </c>
      <c r="D3" s="44">
        <v>3.5918490081238684E-5</v>
      </c>
      <c r="E3" s="44">
        <v>9.4244434287044522E-6</v>
      </c>
    </row>
    <row r="4" spans="1:5" ht="18">
      <c r="A4" s="42" t="s">
        <v>3</v>
      </c>
      <c r="B4" s="44">
        <v>2.6279272002381089E-4</v>
      </c>
      <c r="C4" s="44">
        <v>9.0688388064708633E-5</v>
      </c>
      <c r="D4" s="44">
        <v>3.591849008123869E-5</v>
      </c>
      <c r="E4" s="44">
        <v>9.4244434287044505E-6</v>
      </c>
    </row>
    <row r="5" spans="1:5" ht="18">
      <c r="A5" s="42" t="s">
        <v>4</v>
      </c>
      <c r="B5" s="44">
        <v>1.0492325126523808E-3</v>
      </c>
      <c r="C5" s="44">
        <v>8.0063859947693229E-4</v>
      </c>
      <c r="D5" s="44">
        <v>3.0299376353194052E-4</v>
      </c>
      <c r="E5" s="44">
        <v>9.7320387641818232E-5</v>
      </c>
    </row>
    <row r="6" spans="1:5" ht="18">
      <c r="A6" s="42" t="s">
        <v>5</v>
      </c>
      <c r="B6" s="44">
        <v>1.0215213048002892E-4</v>
      </c>
      <c r="C6" s="44">
        <v>5.9779460472447361E-5</v>
      </c>
      <c r="D6" s="44">
        <v>2.2886849769204748E-5</v>
      </c>
      <c r="E6" s="44">
        <v>7.0020587817516415E-6</v>
      </c>
    </row>
    <row r="7" spans="1:5" ht="18">
      <c r="A7" s="42" t="s">
        <v>52</v>
      </c>
      <c r="B7" s="44">
        <v>2.2036345358525223E-4</v>
      </c>
      <c r="C7" s="44">
        <v>7.7365076495625781E-5</v>
      </c>
      <c r="D7" s="44">
        <v>3.0598817493697987E-5</v>
      </c>
      <c r="E7" s="44">
        <v>8.0824397767754275E-6</v>
      </c>
    </row>
    <row r="8" spans="1:5" ht="18">
      <c r="A8" s="42" t="s">
        <v>53</v>
      </c>
      <c r="B8" s="44">
        <v>8.709168257855017E-6</v>
      </c>
      <c r="C8" s="44">
        <v>3.6987277200806935E-6</v>
      </c>
      <c r="D8" s="44">
        <v>1.4420788566795704E-6</v>
      </c>
      <c r="E8" s="44">
        <v>4.0688206525651183E-7</v>
      </c>
    </row>
    <row r="9" spans="1:5" ht="18">
      <c r="A9" s="42" t="s">
        <v>54</v>
      </c>
      <c r="B9" s="44">
        <v>0</v>
      </c>
      <c r="C9" s="44">
        <v>0</v>
      </c>
      <c r="D9" s="44">
        <v>0</v>
      </c>
      <c r="E9" s="44">
        <v>0</v>
      </c>
    </row>
    <row r="10" spans="1:5" ht="18">
      <c r="A10" s="42" t="s">
        <v>9</v>
      </c>
      <c r="B10" s="44">
        <v>8.4189765739352707E-7</v>
      </c>
      <c r="C10" s="44">
        <v>4.7086879338393578E-7</v>
      </c>
      <c r="D10" s="44">
        <v>1.8068087873626908E-7</v>
      </c>
      <c r="E10" s="44">
        <v>5.4742088468766373E-8</v>
      </c>
    </row>
    <row r="11" spans="1:5" ht="18">
      <c r="A11" s="42" t="s">
        <v>55</v>
      </c>
      <c r="B11" s="44">
        <v>0</v>
      </c>
      <c r="C11" s="44">
        <v>0</v>
      </c>
      <c r="D11" s="44">
        <v>0</v>
      </c>
      <c r="E11" s="44">
        <v>0</v>
      </c>
    </row>
    <row r="12" spans="1:5" ht="18">
      <c r="A12" s="42" t="s">
        <v>56</v>
      </c>
      <c r="B12" s="44">
        <v>1.4219210948881686E-5</v>
      </c>
      <c r="C12" s="44">
        <v>5.937551861780819E-6</v>
      </c>
      <c r="D12" s="44">
        <v>2.318355112760184E-6</v>
      </c>
      <c r="E12" s="44">
        <v>6.5026027795722934E-7</v>
      </c>
    </row>
    <row r="13" spans="1:5" ht="18">
      <c r="A13" s="42" t="s">
        <v>57</v>
      </c>
      <c r="B13" s="44">
        <v>0</v>
      </c>
      <c r="C13" s="44">
        <v>0</v>
      </c>
      <c r="D13" s="44">
        <v>0</v>
      </c>
      <c r="E13" s="44">
        <v>0</v>
      </c>
    </row>
    <row r="17" spans="1:2">
      <c r="A17" s="38" t="s">
        <v>58</v>
      </c>
      <c r="B17" s="4" t="s">
        <v>59</v>
      </c>
    </row>
    <row r="18" spans="1:2">
      <c r="A18" s="5" t="s">
        <v>19</v>
      </c>
      <c r="B18" s="6">
        <v>3</v>
      </c>
    </row>
    <row r="19" spans="1:2">
      <c r="A19" s="5" t="s">
        <v>20</v>
      </c>
      <c r="B19" s="6">
        <v>2</v>
      </c>
    </row>
    <row r="20" spans="1:2">
      <c r="A20" s="3"/>
    </row>
    <row r="21" spans="1:2">
      <c r="A21" s="38" t="s">
        <v>60</v>
      </c>
      <c r="B21" s="4" t="s">
        <v>59</v>
      </c>
    </row>
    <row r="22" spans="1:2">
      <c r="A22" s="5" t="s">
        <v>22</v>
      </c>
      <c r="B22" s="6">
        <v>2</v>
      </c>
    </row>
    <row r="23" spans="1:2">
      <c r="A23" s="5" t="s">
        <v>23</v>
      </c>
      <c r="B23" s="6">
        <v>2</v>
      </c>
    </row>
    <row r="24" spans="1:2">
      <c r="A24" s="5" t="s">
        <v>24</v>
      </c>
      <c r="B24" s="6">
        <v>2</v>
      </c>
    </row>
    <row r="25" spans="1:2">
      <c r="A25" s="8" t="s">
        <v>25</v>
      </c>
      <c r="B25" s="9">
        <v>2</v>
      </c>
    </row>
    <row r="26" spans="1:2">
      <c r="A26" s="8" t="s">
        <v>27</v>
      </c>
      <c r="B26" s="9">
        <v>2</v>
      </c>
    </row>
    <row r="27" spans="1:2">
      <c r="A27" s="10" t="s">
        <v>28</v>
      </c>
      <c r="B27" s="11">
        <v>2</v>
      </c>
    </row>
    <row r="28" spans="1:2">
      <c r="A28" s="8" t="s">
        <v>29</v>
      </c>
      <c r="B28" s="9">
        <v>2</v>
      </c>
    </row>
    <row r="29" spans="1:2">
      <c r="A29" s="8" t="s">
        <v>30</v>
      </c>
      <c r="B29" s="9">
        <v>2</v>
      </c>
    </row>
    <row r="30" spans="1:2">
      <c r="A30" s="7"/>
    </row>
    <row r="31" spans="1:2">
      <c r="A31" s="38" t="s">
        <v>61</v>
      </c>
      <c r="B31" s="4" t="s">
        <v>59</v>
      </c>
    </row>
    <row r="32" spans="1:2">
      <c r="A32" s="5" t="s">
        <v>62</v>
      </c>
      <c r="B32" s="6">
        <v>3</v>
      </c>
    </row>
    <row r="33" spans="1:2">
      <c r="A33" s="12" t="s">
        <v>63</v>
      </c>
      <c r="B33" s="14">
        <v>4</v>
      </c>
    </row>
    <row r="34" spans="1:2">
      <c r="A34" s="5" t="s">
        <v>34</v>
      </c>
      <c r="B34" s="6">
        <v>5</v>
      </c>
    </row>
    <row r="35" spans="1:2">
      <c r="A35" s="13" t="s">
        <v>35</v>
      </c>
      <c r="B35" s="15">
        <v>2</v>
      </c>
    </row>
  </sheetData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2022-06-14T02:17:46Z</dcterms:created>
  <dcterms:modified xsi:type="dcterms:W3CDTF">2025-09-19T07:07:18Z</dcterms:modified>
  <cp:category/>
  <cp:contentStatus/>
</cp:coreProperties>
</file>